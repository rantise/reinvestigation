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<sst xmlns="http://schemas.openxmlformats.org/spreadsheetml/2006/main" count="117" uniqueCount="62">
  <si>
    <t xml:space="preserve">기준년도</t>
  </si>
  <si>
    <t xml:space="preserve">사업지구명</t>
  </si>
  <si>
    <t xml:space="preserve">종전</t>
  </si>
  <si>
    <t xml:space="preserve">확정</t>
  </si>
  <si>
    <t xml:space="preserve">증가면적</t>
  </si>
  <si>
    <t xml:space="preserve">감소면적</t>
  </si>
  <si>
    <t xml:space="preserve">증감여부</t>
  </si>
  <si>
    <t xml:space="preserve">토지변경</t>
  </si>
  <si>
    <t xml:space="preserve">산정방법</t>
  </si>
  <si>
    <t xml:space="preserve">소유사항</t>
  </si>
  <si>
    <t xml:space="preserve">공유 또는 상속인 수</t>
  </si>
  <si>
    <t xml:space="preserve">소유구분</t>
  </si>
  <si>
    <t xml:space="preserve">토지소유자</t>
  </si>
  <si>
    <t xml:space="preserve">지분</t>
  </si>
  <si>
    <t xml:space="preserve">감정평가 업체 1</t>
  </si>
  <si>
    <t xml:space="preserve">감정평가 업체 2</t>
  </si>
  <si>
    <t xml:space="preserve">㎡당가격
(A+B) / 2</t>
  </si>
  <si>
    <t xml:space="preserve">조정금</t>
  </si>
  <si>
    <t xml:space="preserve">분할 납부 또는 체납 후 납부</t>
  </si>
  <si>
    <t xml:space="preserve">읍면</t>
  </si>
  <si>
    <t xml:space="preserve">동리</t>
  </si>
  <si>
    <t xml:space="preserve">지목</t>
  </si>
  <si>
    <t xml:space="preserve">지번</t>
  </si>
  <si>
    <t xml:space="preserve">면적</t>
  </si>
  <si>
    <t xml:space="preserve">㎡당가격(원)
(A)</t>
  </si>
  <si>
    <t xml:space="preserve">감정평가액(원)</t>
  </si>
  <si>
    <t xml:space="preserve">㎡당가격(원)
(B)</t>
  </si>
  <si>
    <t xml:space="preserve">징수</t>
  </si>
  <si>
    <t xml:space="preserve">지급</t>
  </si>
  <si>
    <t xml:space="preserve">2025</t>
  </si>
  <si>
    <t xml:space="preserve">해달3지구</t>
  </si>
  <si>
    <t xml:space="preserve">-</t>
  </si>
  <si>
    <t xml:space="preserve">해달동1가</t>
  </si>
  <si>
    <t xml:space="preserve">도로</t>
  </si>
  <si>
    <t xml:space="preserve">128-8</t>
  </si>
  <si>
    <t xml:space="preserve">100.5</t>
  </si>
  <si>
    <t xml:space="preserve">100</t>
  </si>
  <si>
    <t xml:space="preserve">단독</t>
  </si>
  <si>
    <t xml:space="preserve">개인</t>
  </si>
  <si>
    <t xml:space="preserve">1</t>
  </si>
  <si>
    <t xml:space="preserve">대</t>
  </si>
  <si>
    <t xml:space="preserve">128-9</t>
  </si>
  <si>
    <t xml:space="preserve">55</t>
  </si>
  <si>
    <t xml:space="preserve">53</t>
  </si>
  <si>
    <t xml:space="preserve">2</t>
  </si>
  <si>
    <t xml:space="preserve">128-10</t>
  </si>
  <si>
    <t xml:space="preserve">52</t>
  </si>
  <si>
    <t xml:space="preserve">56</t>
  </si>
  <si>
    <t xml:space="preserve">공유</t>
  </si>
  <si>
    <t xml:space="preserve">3</t>
  </si>
  <si>
    <t xml:space="preserve">1/3</t>
  </si>
  <si>
    <t xml:space="preserve">4</t>
  </si>
  <si>
    <t xml:space="preserve">5</t>
  </si>
  <si>
    <t xml:space="preserve">128-11</t>
  </si>
  <si>
    <t xml:space="preserve">157.2</t>
  </si>
  <si>
    <t xml:space="preserve">128-99</t>
  </si>
  <si>
    <t xml:space="preserve">171.8</t>
  </si>
  <si>
    <t xml:space="preserve">상속</t>
  </si>
  <si>
    <t xml:space="preserve">128-12</t>
  </si>
  <si>
    <t xml:space="preserve">75.6</t>
  </si>
  <si>
    <t xml:space="preserve">78.6</t>
  </si>
  <si>
    <t xml:space="preserve">7</t>
  </si>
</sst>
</file>

<file path=xl/styles.xml><?xml version="1.0" encoding="utf-8"?>
<styleSheet xmlns="http://schemas.openxmlformats.org/spreadsheetml/2006/main">
  <numFmts count="3">
    <numFmt numFmtId="164" formatCode="General"/>
    <numFmt numFmtId="165" formatCode="@"/>
    <numFmt numFmtId="166" formatCode="#,##0"/>
  </numFmts>
  <fonts count="6">
    <font>
      <sz val="11"/>
      <color theme="1"/>
      <name val="맑은 고딕"/>
      <family val="2"/>
      <charset val="129"/>
    </font>
    <font>
      <sz val="10"/>
      <name val="Arial"/>
      <family val="0"/>
      <charset val="129"/>
    </font>
    <font>
      <sz val="10"/>
      <name val="Arial"/>
      <family val="0"/>
      <charset val="129"/>
    </font>
    <font>
      <sz val="10"/>
      <name val="Arial"/>
      <family val="0"/>
      <charset val="129"/>
    </font>
    <font>
      <sz val="10"/>
      <name val="맑은 고딕"/>
      <family val="3"/>
      <charset val="129"/>
    </font>
    <font>
      <sz val="10"/>
      <name val="맑은 고딕"/>
      <family val="0"/>
      <charset val="129"/>
    </font>
  </fonts>
  <fills count="4">
    <fill>
      <patternFill patternType="none"/>
    </fill>
    <fill>
      <patternFill patternType="gray125"/>
    </fill>
    <fill>
      <patternFill patternType="solid">
        <fgColor rgb="FF9999FF"/>
        <bgColor rgb="FFCC99FF"/>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5" fontId="4" fillId="3"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48576"/>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selection pane="topLeft" activeCell="R19" activeCellId="0" sqref="R19"/>
    </sheetView>
  </sheetViews>
  <sheetFormatPr defaultColWidth="8.5078125" defaultRowHeight="16.5" customHeight="false" zeroHeight="false" outlineLevelRow="0" outlineLevelCol="0"/>
  <cols>
    <col collapsed="false" customWidth="true" hidden="false" outlineLevel="0" max="1" min="1" style="0" width="6.12"/>
    <col collapsed="false" customWidth="true" hidden="false" outlineLevel="0" max="2" min="2" style="0" width="9.25"/>
    <col collapsed="false" customWidth="true" hidden="false" outlineLevel="0" max="3" min="3" style="0" width="5.37"/>
    <col collapsed="false" customWidth="true" hidden="false" outlineLevel="0" max="4" min="4" style="0" width="9.25"/>
    <col collapsed="false" customWidth="true" hidden="false" outlineLevel="0" max="5" min="5" style="0" width="6.88"/>
    <col collapsed="false" customWidth="true" hidden="false" outlineLevel="0" max="6" min="6" style="0" width="9.5"/>
    <col collapsed="false" customWidth="true" hidden="false" outlineLevel="0" max="7" min="7" style="0" width="6.63"/>
    <col collapsed="false" customWidth="true" hidden="false" outlineLevel="0" max="8" min="8" style="0" width="5.37"/>
    <col collapsed="false" customWidth="true" hidden="false" outlineLevel="0" max="9" min="9" style="0" width="9.25"/>
    <col collapsed="false" customWidth="true" hidden="false" outlineLevel="0" max="10" min="10" style="0" width="6.88"/>
    <col collapsed="false" customWidth="true" hidden="false" outlineLevel="0" max="11" min="11" style="0" width="9.5"/>
    <col collapsed="false" customWidth="true" hidden="false" outlineLevel="0" max="12" min="12" style="0" width="8"/>
    <col collapsed="false" customWidth="true" hidden="false" outlineLevel="0" max="18" min="13" style="0" width="7.63"/>
    <col collapsed="false" customWidth="true" hidden="false" outlineLevel="0" max="19" min="19" style="0" width="8"/>
    <col collapsed="false" customWidth="true" hidden="false" outlineLevel="0" max="23" min="23" style="0" width="11.5"/>
    <col collapsed="false" customWidth="true" hidden="false" outlineLevel="0" max="24" min="24" style="0" width="12.75"/>
    <col collapsed="false" customWidth="true" hidden="false" outlineLevel="0" max="25" min="25" style="0" width="11.37"/>
    <col collapsed="false" customWidth="true" hidden="false" outlineLevel="0" max="26" min="26" style="0" width="12.75"/>
  </cols>
  <sheetData>
    <row r="1" customFormat="false" ht="16.5" hidden="false" customHeight="true" outlineLevel="0" collapsed="false">
      <c r="A1" s="1" t="s">
        <v>0</v>
      </c>
      <c r="B1" s="1" t="s">
        <v>1</v>
      </c>
      <c r="C1" s="1" t="s">
        <v>2</v>
      </c>
      <c r="D1" s="1"/>
      <c r="E1" s="1"/>
      <c r="F1" s="1"/>
      <c r="G1" s="1"/>
      <c r="H1" s="1" t="s">
        <v>3</v>
      </c>
      <c r="I1" s="1"/>
      <c r="J1" s="1"/>
      <c r="K1" s="1"/>
      <c r="L1" s="1"/>
      <c r="M1" s="2" t="s">
        <v>4</v>
      </c>
      <c r="N1" s="2" t="s">
        <v>5</v>
      </c>
      <c r="O1" s="2" t="s">
        <v>6</v>
      </c>
      <c r="P1" s="2" t="s">
        <v>7</v>
      </c>
      <c r="Q1" s="2" t="s">
        <v>8</v>
      </c>
      <c r="R1" s="1" t="s">
        <v>9</v>
      </c>
      <c r="S1" s="1" t="s">
        <v>10</v>
      </c>
      <c r="T1" s="1" t="s">
        <v>11</v>
      </c>
      <c r="U1" s="1" t="s">
        <v>12</v>
      </c>
      <c r="V1" s="1" t="s">
        <v>13</v>
      </c>
      <c r="W1" s="2" t="s">
        <v>14</v>
      </c>
      <c r="X1" s="2"/>
      <c r="Y1" s="2" t="s">
        <v>15</v>
      </c>
      <c r="Z1" s="2"/>
      <c r="AA1" s="2" t="s">
        <v>16</v>
      </c>
      <c r="AB1" s="2" t="s">
        <v>17</v>
      </c>
      <c r="AC1" s="2"/>
      <c r="AD1" s="2" t="s">
        <v>18</v>
      </c>
    </row>
    <row r="2" customFormat="false" ht="28.9" hidden="false" customHeight="false" outlineLevel="0" collapsed="false">
      <c r="A2" s="1"/>
      <c r="B2" s="1"/>
      <c r="C2" s="1" t="s">
        <v>19</v>
      </c>
      <c r="D2" s="1" t="s">
        <v>20</v>
      </c>
      <c r="E2" s="1" t="s">
        <v>21</v>
      </c>
      <c r="F2" s="1" t="s">
        <v>22</v>
      </c>
      <c r="G2" s="1" t="s">
        <v>23</v>
      </c>
      <c r="H2" s="1" t="s">
        <v>19</v>
      </c>
      <c r="I2" s="1" t="s">
        <v>20</v>
      </c>
      <c r="J2" s="1" t="s">
        <v>21</v>
      </c>
      <c r="K2" s="1" t="s">
        <v>22</v>
      </c>
      <c r="L2" s="1" t="s">
        <v>23</v>
      </c>
      <c r="M2" s="2"/>
      <c r="N2" s="2"/>
      <c r="O2" s="2"/>
      <c r="P2" s="2"/>
      <c r="Q2" s="2"/>
      <c r="R2" s="2"/>
      <c r="S2" s="2"/>
      <c r="T2" s="2"/>
      <c r="U2" s="2"/>
      <c r="V2" s="2"/>
      <c r="W2" s="2" t="s">
        <v>24</v>
      </c>
      <c r="X2" s="2" t="s">
        <v>25</v>
      </c>
      <c r="Y2" s="2" t="s">
        <v>26</v>
      </c>
      <c r="Z2" s="2" t="s">
        <v>25</v>
      </c>
      <c r="AA2" s="2"/>
      <c r="AB2" s="2" t="s">
        <v>27</v>
      </c>
      <c r="AC2" s="2" t="s">
        <v>28</v>
      </c>
      <c r="AD2" s="2"/>
    </row>
    <row r="3" customFormat="false" ht="16.5" hidden="false" customHeight="false" outlineLevel="0" collapsed="false">
      <c r="A3" s="3" t="s">
        <v>29</v>
      </c>
      <c r="B3" s="3" t="s">
        <v>30</v>
      </c>
      <c r="C3" s="3" t="s">
        <v>31</v>
      </c>
      <c r="D3" s="3" t="s">
        <v>32</v>
      </c>
      <c r="E3" s="3" t="s">
        <v>33</v>
      </c>
      <c r="F3" s="3" t="s">
        <v>34</v>
      </c>
      <c r="G3" s="3" t="s">
        <v>35</v>
      </c>
      <c r="H3" s="3" t="s">
        <v>31</v>
      </c>
      <c r="I3" s="3" t="s">
        <v>32</v>
      </c>
      <c r="J3" s="3" t="s">
        <v>33</v>
      </c>
      <c r="K3" s="3" t="s">
        <v>34</v>
      </c>
      <c r="L3" s="3" t="s">
        <v>36</v>
      </c>
      <c r="M3" s="3"/>
      <c r="N3" s="3" t="n">
        <f aca="false">G3-L3</f>
        <v>0.5</v>
      </c>
      <c r="O3" s="3"/>
      <c r="P3" s="3"/>
      <c r="Q3" s="3"/>
      <c r="R3" s="3" t="s">
        <v>37</v>
      </c>
      <c r="S3" s="3"/>
      <c r="T3" s="3" t="s">
        <v>38</v>
      </c>
      <c r="U3" s="3" t="s">
        <v>39</v>
      </c>
      <c r="V3" s="3"/>
      <c r="W3" s="4" t="n">
        <v>1780000</v>
      </c>
      <c r="X3" s="4"/>
      <c r="Y3" s="4" t="n">
        <v>1780000</v>
      </c>
      <c r="Z3" s="4"/>
      <c r="AA3" s="4" t="n">
        <f aca="false">IF(Y3=0,(W3+Y3),(W3+Y3)/2)</f>
        <v>1780000</v>
      </c>
      <c r="AB3" s="4"/>
      <c r="AC3" s="4"/>
      <c r="AD3" s="4"/>
    </row>
    <row r="4" customFormat="false" ht="16.5" hidden="false" customHeight="false" outlineLevel="0" collapsed="false">
      <c r="A4" s="3" t="s">
        <v>29</v>
      </c>
      <c r="B4" s="3" t="s">
        <v>30</v>
      </c>
      <c r="C4" s="3" t="s">
        <v>31</v>
      </c>
      <c r="D4" s="3" t="s">
        <v>32</v>
      </c>
      <c r="E4" s="3" t="s">
        <v>40</v>
      </c>
      <c r="F4" s="3" t="s">
        <v>41</v>
      </c>
      <c r="G4" s="3" t="s">
        <v>42</v>
      </c>
      <c r="H4" s="3" t="s">
        <v>31</v>
      </c>
      <c r="I4" s="3" t="s">
        <v>32</v>
      </c>
      <c r="J4" s="3" t="s">
        <v>40</v>
      </c>
      <c r="K4" s="3" t="s">
        <v>41</v>
      </c>
      <c r="L4" s="3" t="s">
        <v>43</v>
      </c>
      <c r="M4" s="3"/>
      <c r="N4" s="3"/>
      <c r="O4" s="3"/>
      <c r="P4" s="3"/>
      <c r="Q4" s="3"/>
      <c r="R4" s="3" t="s">
        <v>37</v>
      </c>
      <c r="S4" s="3"/>
      <c r="T4" s="3" t="s">
        <v>38</v>
      </c>
      <c r="U4" s="3" t="s">
        <v>44</v>
      </c>
      <c r="V4" s="3"/>
      <c r="W4" s="4" t="n">
        <v>1500000</v>
      </c>
      <c r="X4" s="4" t="n">
        <v>3000000</v>
      </c>
      <c r="Y4" s="4" t="n">
        <v>1600000</v>
      </c>
      <c r="Z4" s="4" t="n">
        <v>3200000</v>
      </c>
      <c r="AA4" s="4" t="n">
        <f aca="false">IF(Y4=0,(W4+Y4),(W4+Y4)/2)</f>
        <v>1550000</v>
      </c>
      <c r="AB4" s="4"/>
      <c r="AC4" s="4" t="n">
        <v>3050000</v>
      </c>
      <c r="AD4" s="4"/>
    </row>
    <row r="5" s="5" customFormat="true" ht="16.5" hidden="false" customHeight="true" outlineLevel="0" collapsed="false">
      <c r="A5" s="3" t="s">
        <v>29</v>
      </c>
      <c r="B5" s="3" t="s">
        <v>30</v>
      </c>
      <c r="C5" s="3" t="s">
        <v>31</v>
      </c>
      <c r="D5" s="3" t="s">
        <v>32</v>
      </c>
      <c r="E5" s="3" t="s">
        <v>40</v>
      </c>
      <c r="F5" s="3" t="s">
        <v>45</v>
      </c>
      <c r="G5" s="3" t="s">
        <v>46</v>
      </c>
      <c r="H5" s="3" t="s">
        <v>31</v>
      </c>
      <c r="I5" s="3" t="s">
        <v>32</v>
      </c>
      <c r="J5" s="3" t="s">
        <v>40</v>
      </c>
      <c r="K5" s="3" t="s">
        <v>45</v>
      </c>
      <c r="L5" s="3" t="s">
        <v>47</v>
      </c>
      <c r="M5" s="3"/>
      <c r="N5" s="3"/>
      <c r="O5" s="3"/>
      <c r="P5" s="3"/>
      <c r="Q5" s="3"/>
      <c r="R5" s="3" t="s">
        <v>48</v>
      </c>
      <c r="S5" s="3" t="s">
        <v>49</v>
      </c>
      <c r="T5" s="3"/>
      <c r="U5" s="3"/>
      <c r="V5" s="3"/>
      <c r="W5" s="4"/>
      <c r="X5" s="4"/>
      <c r="Y5" s="4"/>
      <c r="Z5" s="4"/>
      <c r="AA5" s="4" t="n">
        <f aca="false">IF(Y5=0,(W5+Y5),(W5+Y5)/2)</f>
        <v>0</v>
      </c>
      <c r="AB5" s="4"/>
      <c r="AC5" s="4"/>
      <c r="AD5" s="4"/>
    </row>
    <row r="6" customFormat="false" ht="16.5" hidden="false" customHeight="false" outlineLevel="0" collapsed="false">
      <c r="T6" s="3" t="s">
        <v>38</v>
      </c>
      <c r="U6" s="3" t="s">
        <v>49</v>
      </c>
      <c r="V6" s="3" t="s">
        <v>50</v>
      </c>
      <c r="W6" s="4"/>
      <c r="X6" s="4"/>
      <c r="Y6" s="4"/>
      <c r="Z6" s="4"/>
      <c r="AA6" s="4" t="n">
        <f aca="false">IF(Y6=0,(W6+Y6),(W6+Y6)/2)</f>
        <v>0</v>
      </c>
      <c r="AB6" s="4"/>
      <c r="AC6" s="4"/>
      <c r="AD6" s="4"/>
    </row>
    <row r="7" customFormat="false" ht="16.5" hidden="false" customHeight="false" outlineLevel="0" collapsed="false">
      <c r="T7" s="3" t="s">
        <v>38</v>
      </c>
      <c r="U7" s="3" t="s">
        <v>51</v>
      </c>
      <c r="V7" s="3" t="s">
        <v>50</v>
      </c>
      <c r="W7" s="4"/>
      <c r="X7" s="4"/>
      <c r="Y7" s="4"/>
      <c r="Z7" s="4"/>
      <c r="AA7" s="4" t="n">
        <f aca="false">IF(Y7=0,(W7+Y7),(W7+Y7)/2)</f>
        <v>0</v>
      </c>
      <c r="AB7" s="4"/>
      <c r="AC7" s="4"/>
      <c r="AD7" s="4"/>
    </row>
    <row r="8" customFormat="false" ht="16.5" hidden="false" customHeight="false" outlineLevel="0" collapsed="false">
      <c r="T8" s="3" t="s">
        <v>38</v>
      </c>
      <c r="U8" s="3" t="s">
        <v>52</v>
      </c>
      <c r="V8" s="3" t="s">
        <v>50</v>
      </c>
      <c r="W8" s="4"/>
      <c r="X8" s="4"/>
      <c r="Y8" s="4"/>
      <c r="Z8" s="4"/>
      <c r="AA8" s="4" t="n">
        <f aca="false">IF(Y8=0,(W8+Y8),(W8+Y8)/2)</f>
        <v>0</v>
      </c>
      <c r="AB8" s="4"/>
      <c r="AC8" s="4"/>
      <c r="AD8" s="4"/>
    </row>
    <row r="9" customFormat="false" ht="16.5" hidden="false" customHeight="false" outlineLevel="0" collapsed="false">
      <c r="A9" s="3" t="s">
        <v>29</v>
      </c>
      <c r="B9" s="3" t="s">
        <v>30</v>
      </c>
      <c r="C9" s="3" t="s">
        <v>31</v>
      </c>
      <c r="D9" s="3" t="s">
        <v>32</v>
      </c>
      <c r="E9" s="3" t="s">
        <v>40</v>
      </c>
      <c r="F9" s="3" t="s">
        <v>53</v>
      </c>
      <c r="G9" s="3" t="s">
        <v>54</v>
      </c>
      <c r="H9" s="3" t="s">
        <v>31</v>
      </c>
      <c r="I9" s="3" t="s">
        <v>32</v>
      </c>
      <c r="J9" s="3" t="s">
        <v>40</v>
      </c>
      <c r="K9" s="3" t="s">
        <v>55</v>
      </c>
      <c r="L9" s="3" t="s">
        <v>56</v>
      </c>
      <c r="M9" s="3"/>
      <c r="N9" s="3"/>
      <c r="O9" s="3"/>
      <c r="P9" s="3"/>
      <c r="Q9" s="3"/>
      <c r="R9" s="3" t="s">
        <v>57</v>
      </c>
      <c r="S9" s="3" t="s">
        <v>52</v>
      </c>
      <c r="T9" s="3"/>
      <c r="U9" s="3"/>
      <c r="V9" s="3"/>
      <c r="W9" s="4"/>
      <c r="X9" s="4"/>
      <c r="Y9" s="4"/>
      <c r="Z9" s="4"/>
      <c r="AA9" s="4" t="n">
        <f aca="false">IF(Y9=0,(W9+Y9),(W9+Y9)/2)</f>
        <v>0</v>
      </c>
      <c r="AB9" s="4"/>
      <c r="AC9" s="4"/>
      <c r="AD9" s="4"/>
    </row>
    <row r="10" customFormat="false" ht="16.5" hidden="false" customHeight="false" outlineLevel="0" collapsed="false">
      <c r="A10" s="3" t="s">
        <v>29</v>
      </c>
      <c r="B10" s="3" t="s">
        <v>30</v>
      </c>
      <c r="C10" s="3" t="s">
        <v>31</v>
      </c>
      <c r="D10" s="3" t="s">
        <v>32</v>
      </c>
      <c r="E10" s="3" t="s">
        <v>40</v>
      </c>
      <c r="F10" s="3" t="s">
        <v>58</v>
      </c>
      <c r="G10" s="3" t="s">
        <v>59</v>
      </c>
      <c r="H10" s="3" t="s">
        <v>31</v>
      </c>
      <c r="I10" s="3" t="s">
        <v>32</v>
      </c>
      <c r="J10" s="3" t="s">
        <v>40</v>
      </c>
      <c r="K10" s="3" t="s">
        <v>58</v>
      </c>
      <c r="L10" s="3" t="s">
        <v>60</v>
      </c>
      <c r="M10" s="3"/>
      <c r="N10" s="3"/>
      <c r="O10" s="3"/>
      <c r="P10" s="3"/>
      <c r="Q10" s="3"/>
      <c r="R10" s="3" t="s">
        <v>37</v>
      </c>
      <c r="S10" s="3"/>
      <c r="T10" s="3" t="s">
        <v>38</v>
      </c>
      <c r="U10" s="3" t="s">
        <v>61</v>
      </c>
      <c r="V10" s="3"/>
      <c r="W10" s="4" t="n">
        <v>2000000</v>
      </c>
      <c r="X10" s="4" t="n">
        <v>6000000</v>
      </c>
      <c r="Y10" s="4" t="n">
        <v>2100000</v>
      </c>
      <c r="Z10" s="4" t="n">
        <v>62000000</v>
      </c>
      <c r="AA10" s="4" t="n">
        <v>2150000</v>
      </c>
      <c r="AB10" s="4"/>
      <c r="AC10" s="4" t="n">
        <v>6200000</v>
      </c>
      <c r="AD10" s="4"/>
    </row>
    <row r="1048575" customFormat="false" ht="12.8" hidden="false" customHeight="false" outlineLevel="0" collapsed="false"/>
    <row r="1048576" customFormat="false" ht="12.8" hidden="false" customHeight="false" outlineLevel="0" collapsed="false"/>
  </sheetData>
  <mergeCells count="19">
    <mergeCell ref="A1:A2"/>
    <mergeCell ref="B1:B2"/>
    <mergeCell ref="C1:G1"/>
    <mergeCell ref="H1:L1"/>
    <mergeCell ref="M1:M2"/>
    <mergeCell ref="N1:N2"/>
    <mergeCell ref="O1:O2"/>
    <mergeCell ref="P1:P2"/>
    <mergeCell ref="Q1:Q2"/>
    <mergeCell ref="R1:R2"/>
    <mergeCell ref="S1:S2"/>
    <mergeCell ref="T1:T2"/>
    <mergeCell ref="U1:U2"/>
    <mergeCell ref="V1:V2"/>
    <mergeCell ref="W1:X1"/>
    <mergeCell ref="Y1:Z1"/>
    <mergeCell ref="AA1:AA2"/>
    <mergeCell ref="AB1:AC1"/>
    <mergeCell ref="AD1:AD2"/>
  </mergeCells>
  <dataValidations count="2">
    <dataValidation allowBlank="true" errorStyle="stop" operator="between" showDropDown="false" showErrorMessage="true" showInputMessage="true" sqref="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type="list">
      <formula1>"분수,지분율"</formula1>
      <formula2>0</formula2>
    </dataValidation>
    <dataValidation allowBlank="true" errorStyle="stop" operator="between" showDropDown="false" showErrorMessage="true" showInputMessage="true" sqref="JI5 TE5 ADA5 AMW5 AWS5 BGO5 BQK5 CAG5 CKC5 CTY5 DDU5 DNQ5 DXM5 EHI5 ERE5 FBA5 FKW5 FUS5 GEO5 GOK5 GYG5 HIC5 HRY5 IBU5 ILQ5 IVM5 JFI5 JPE5 JZA5 KIW5 KSS5 LCO5 LMK5 LWG5 MGC5 MPY5 MZU5 NJQ5 NTM5 ODI5 ONE5 OXA5 PGW5 PQS5 QAO5 QKK5 QUG5 REC5 RNY5 RXU5 SHQ5 SRM5 TBI5 TLE5 TVA5 UEW5 UOS5 UYO5 VIK5 VSG5 WCC5 WLY5 WVU5" type="list">
      <formula1>"산정,미산정"</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441</TotalTime>
  <Application>모두의오피스/26.2.4.2$Windows_X86_64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2026-09-30T01:43:00Z</dcterms:created>
  <dc:creator>user</dc:creator>
  <dc:description/>
  <dc:language>ko-KR</dc:language>
  <cp:lastModifiedBy/>
  <dcterms:modified xsi:type="dcterms:W3CDTF">2026-10-07T19:40:20Z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